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91700\Desktop\"/>
    </mc:Choice>
  </mc:AlternateContent>
  <xr:revisionPtr revIDLastSave="0" documentId="8_{E0F86E6B-317D-4EF2-B8F3-7C3439EF05AA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3" i="20" l="1"/>
  <c r="C34" i="20"/>
  <c r="C35" i="20"/>
  <c r="C27" i="20"/>
  <c r="C28" i="20"/>
  <c r="C29" i="20"/>
  <c r="C30" i="20"/>
  <c r="C31" i="20"/>
  <c r="C32" i="20"/>
  <c r="C33" i="20"/>
  <c r="C24" i="20"/>
  <c r="C25" i="20"/>
  <c r="C26" i="20"/>
  <c r="C22" i="19" a="1"/>
  <c r="C22" i="19" s="1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16" i="16"/>
  <c r="C30" i="18"/>
  <c r="D30" i="18"/>
  <c r="E30" i="18"/>
  <c r="F30" i="18"/>
  <c r="C29" i="18"/>
  <c r="D29" i="18"/>
  <c r="E29" i="18"/>
  <c r="F29" i="18"/>
  <c r="C28" i="18"/>
  <c r="D28" i="18"/>
  <c r="E28" i="18"/>
  <c r="F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Y2" i="1"/>
</calcChain>
</file>

<file path=xl/sharedStrings.xml><?xml version="1.0" encoding="utf-8"?>
<sst xmlns="http://schemas.openxmlformats.org/spreadsheetml/2006/main" count="329" uniqueCount="183">
  <si>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</si>
  <si>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</si>
  <si>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</si>
  <si>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</si>
  <si>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</si>
  <si>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</si>
  <si>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</si>
  <si>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</si>
  <si>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</si>
  <si>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</si>
  <si>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</si>
  <si>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</si>
  <si>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</si>
  <si>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</si>
  <si>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</si>
  <si>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</si>
  <si>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</si>
  <si>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</si>
  <si>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</si>
  <si>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</si>
  <si>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</si>
  <si>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</si>
  <si>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</si>
  <si>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</si>
  <si>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</si>
  <si>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</si>
  <si>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</si>
  <si>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</si>
  <si>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</si>
  <si>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</si>
  <si>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</si>
  <si>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</si>
  <si>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</si>
  <si>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</si>
  <si>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</si>
  <si>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</si>
  <si>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</si>
  <si>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</si>
  <si>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</si>
  <si>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</si>
  <si>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</si>
  <si>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</si>
  <si>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</si>
  <si>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</si>
  <si>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</si>
  <si>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</si>
  <si>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</si>
  <si>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</si>
  <si>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</si>
  <si>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</si>
  <si>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</si>
  <si>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</si>
  <si>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</si>
  <si>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</si>
  <si>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</si>
  <si>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</si>
  <si>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</si>
  <si>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</si>
  <si>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</si>
  <si>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</si>
  <si>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</si>
  <si>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</si>
  <si>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</si>
  <si>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</si>
  <si>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</si>
  <si>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</si>
  <si>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</si>
  <si>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</si>
  <si>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</si>
  <si>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</si>
  <si>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</si>
  <si>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</si>
  <si>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</si>
  <si>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</si>
  <si>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</si>
  <si>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</si>
  <si>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</si>
  <si>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</si>
  <si>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</si>
  <si>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</si>
  <si>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</si>
  <si>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</si>
  <si>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</si>
  <si>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</si>
  <si>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</si>
  <si>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</si>
  <si>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</si>
  <si>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</si>
  <si>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</si>
  <si>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</si>
  <si>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</si>
  <si>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</si>
  <si>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</si>
  <si>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</si>
  <si>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</si>
  <si>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</si>
  <si>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</si>
  <si>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</si>
  <si>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</si>
  <si>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</si>
  <si>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</si>
  <si>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</si>
  <si>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</si>
  <si>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</si>
  <si>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</si>
  <si>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</si>
  <si>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</si>
  <si>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</si>
  <si>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</si>
  <si>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</si>
  <si>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</si>
  <si>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</si>
  <si>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</si>
  <si>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</si>
  <si>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</si>
  <si>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</si>
  <si>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</si>
  <si>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</si>
  <si>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</si>
  <si>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</si>
  <si>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</si>
  <si>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</si>
  <si>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</si>
  <si>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</si>
  <si>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</si>
  <si>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</si>
  <si>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</si>
  <si>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</si>
  <si>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</si>
  <si>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</si>
  <si>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</si>
  <si>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</si>
  <si>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</si>
  <si>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</si>
  <si>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</si>
  <si>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</si>
  <si>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</si>
  <si>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</si>
  <si>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</si>
  <si>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</si>
  <si>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</si>
  <si>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</si>
  <si>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</si>
  <si>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</si>
  <si>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</si>
  <si>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</si>
  <si>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</si>
  <si>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</si>
  <si>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</si>
  <si>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</si>
  <si>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</si>
  <si>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</si>
  <si>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</si>
  <si>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</si>
  <si>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</si>
  <si>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</si>
  <si>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</si>
  <si>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</si>
  <si>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</si>
  <si>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</si>
  <si>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</si>
  <si>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</si>
  <si>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</si>
  <si>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</si>
  <si>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</si>
  <si>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</si>
  <si>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</si>
  <si>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</si>
  <si>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</si>
  <si>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</si>
  <si>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</si>
  <si>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</si>
  <si>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</si>
  <si>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</si>
  <si>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</si>
  <si>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</si>
  <si>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</si>
  <si>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Done</t>
  </si>
  <si>
    <t>Cars2</t>
  </si>
  <si>
    <t>formula is =SUMIF(H:H,"&gt;20")</t>
  </si>
  <si>
    <t>These formulas use a combination of FIND, LEFT, and MID functions to extract each part of the string based on the position of hyphens.FIND("-", A16): Finds the position of the first hyphen in cell A1.
LEFT(A16, FIND("-", A16) - 1): Extracts the left portion of the string in A1 up to (but not including) the first hyphen.FIND("-", A16) + 1: Finds the position immediately after the first hyphen.
FIND("-", A16, FIND("-", A16) + 1): Finds the position of the second hyphen.
FIND("-", A16, FIND("-", A16) + 1) - FIND("-", A16) - 1: Calculates the length of the substring between the first and second hyphens.
MID(A16, FIND("-", A16) + 1, ...) extracts the substring starting from the position after the first hyphen.
This formula retrieves the characters between the first and second hyphens in the string.</t>
  </si>
  <si>
    <t>I used =SUM(IFERROR(C12:C21, 20)) as this formula will sum the values in the ‘Sales’ column of ‘Table_A’, and if there’s an #N/A error, it will substitute it with ‘20’. However, since this formula uses array functionality, you need to enter it as an array formula. To do this, after typing the formula, press Ctrl + Shift + Enter instead of just Enter. Excel will then enclose the formula in curly braces {} to indicate that it’s an array formula.</t>
  </si>
  <si>
    <t>I used the formula =INDEX($B$10:$J$18, MATCH(VLOOKUP(A23, $M$9:$N$18, 2, FALSE), $B$9:$J$9, 0), MATCH(VLOOKUP(B23, $M$9:$N$18, 2, FALSE), $B$9:$J$9, 0)), which combines the functions of Index, Match and Vlookup.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</si>
</sst>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9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18" fillId="0" borderId="0" xfId="0" applyFont="1" applyAlignment="1">
      <alignment wrapText="1"/>
    </xf>
    <xf numFmtId="0" fontId="15" fillId="0" borderId="0" xfId="0" applyFont="1"/>
    <xf numFmtId="0" fontId="3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C00000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7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4" t="s">
        <v>171</v>
      </c>
      <c r="B9" s="25" t="s">
        <v>169</v>
      </c>
    </row>
    <row r="10" spans="1:3" x14ac:dyDescent="0.3">
      <c r="A10" s="33" t="s">
        <v>172</v>
      </c>
      <c r="B10" s="35">
        <v>25</v>
      </c>
    </row>
    <row r="11" spans="1:3" x14ac:dyDescent="0.3">
      <c r="A11" s="33" t="s">
        <v>55</v>
      </c>
      <c r="B11" s="35">
        <v>30</v>
      </c>
    </row>
    <row r="12" spans="1:3" x14ac:dyDescent="0.3">
      <c r="A12" s="33" t="s">
        <v>56</v>
      </c>
      <c r="B12" s="35">
        <v>10</v>
      </c>
    </row>
    <row r="13" spans="1:3" x14ac:dyDescent="0.3">
      <c r="A13" s="33" t="s">
        <v>85</v>
      </c>
      <c r="B13" s="35">
        <v>20</v>
      </c>
    </row>
    <row r="14" spans="1:3" x14ac:dyDescent="0.3">
      <c r="A14" s="33" t="s">
        <v>98</v>
      </c>
      <c r="B14" s="35">
        <v>40</v>
      </c>
    </row>
    <row r="15" spans="1:3" x14ac:dyDescent="0.3">
      <c r="A15" s="36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40"/>
  <sheetViews>
    <sheetView topLeftCell="K1" zoomScale="89" zoomScaleNormal="89" workbookViewId="0">
      <pane ySplit="1" topLeftCell="A2" activePane="bottomLeft" state="frozen"/>
      <selection pane="bottomLeft" activeCell="N26" sqref="N26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4" bestFit="1" customWidth="1"/>
    <col min="25" max="16384" width="9" style="1"/>
  </cols>
  <sheetData>
    <row r="1" spans="1:25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3" t="s">
        <v>105</v>
      </c>
      <c r="Y1" s="3" t="s">
        <v>178</v>
      </c>
    </row>
    <row r="2" spans="1:25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  <c r="Y2" s="1">
        <f>SUMIF(H:H,"&gt;20")</f>
        <v>1473.0000000000002</v>
      </c>
    </row>
    <row r="3" spans="1:25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</row>
    <row r="4" spans="1:25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</row>
    <row r="5" spans="1:25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</row>
    <row r="6" spans="1:25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</row>
    <row r="7" spans="1:25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</row>
    <row r="8" spans="1:25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</row>
    <row r="9" spans="1:25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</row>
    <row r="10" spans="1:25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</row>
    <row r="11" spans="1:25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</row>
    <row r="12" spans="1:25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45116</v>
      </c>
    </row>
    <row r="13" spans="1:25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</row>
    <row r="14" spans="1:25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</row>
    <row r="15" spans="1:25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</row>
    <row r="16" spans="1:25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</sheetData>
  <conditionalFormatting sqref="A1:A1048576">
    <cfRule type="duplicateValues" dxfId="3" priority="5"/>
  </conditionalFormatting>
  <conditionalFormatting sqref="B1:B1048576">
    <cfRule type="duplicateValues" dxfId="2" priority="4"/>
  </conditionalFormatting>
  <conditionalFormatting sqref="G1:W40">
    <cfRule type="cellIs" dxfId="1" priority="1" operator="equal">
      <formula>0</formula>
    </cfRule>
    <cfRule type="cellIs" priority="2" operator="equal">
      <formula>0</formula>
    </cfRule>
    <cfRule type="cellIs" dxfId="0" priority="3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9" sqref="C9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 t="s">
        <v>177</v>
      </c>
      <c r="E4" s="1">
        <v>5</v>
      </c>
    </row>
    <row r="5" spans="1:5" x14ac:dyDescent="0.3">
      <c r="A5" s="6">
        <v>3</v>
      </c>
      <c r="B5" s="2" t="s">
        <v>104</v>
      </c>
      <c r="C5" s="32" t="s">
        <v>179</v>
      </c>
      <c r="E5" s="1">
        <v>10</v>
      </c>
    </row>
    <row r="6" spans="1:5" x14ac:dyDescent="0.3">
      <c r="A6" s="6">
        <v>4</v>
      </c>
      <c r="B6" s="2" t="s">
        <v>106</v>
      </c>
      <c r="C6" s="2" t="s">
        <v>177</v>
      </c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7" zoomScaleNormal="100" workbookViewId="0">
      <selection activeCell="H31" sqref="H31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9" customFormat="1" ht="21" x14ac:dyDescent="0.4">
      <c r="A1" s="40" t="s">
        <v>55</v>
      </c>
      <c r="B1" s="39" t="s">
        <v>164</v>
      </c>
    </row>
    <row r="2" spans="1:7" s="39" customFormat="1" ht="21" x14ac:dyDescent="0.4">
      <c r="B2" s="39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162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1">
        <f>VLOOKUP(A6,Dataset!A1:G40,7,FALSE)</f>
        <v>2.7</v>
      </c>
      <c r="C6" s="11">
        <f>VLOOKUP(A6,Dataset!A1:N40,14,FALSE)</f>
        <v>7.6</v>
      </c>
      <c r="D6" s="11">
        <f>VLOOKUP(A6,Dataset!A1:R40,18,FALSE)</f>
        <v>4.2</v>
      </c>
      <c r="E6" s="11">
        <f>VLOOKUP(A6,Dataset!A1:T40,20,FALSE)</f>
        <v>8.9</v>
      </c>
      <c r="F6" s="8">
        <f>VLOOKUP(A6,Dataset!A1:V40,22,FALSE)</f>
        <v>4.2</v>
      </c>
    </row>
    <row r="7" spans="1:7" ht="14.4" x14ac:dyDescent="0.3">
      <c r="A7" s="7" t="s">
        <v>4</v>
      </c>
      <c r="B7" s="11">
        <f>VLOOKUP(A7,Dataset!A2:G41,7,FALSE)</f>
        <v>2.7</v>
      </c>
      <c r="C7" s="11">
        <f>VLOOKUP(A7,Dataset!A2:N41,14,FALSE)</f>
        <v>7.6</v>
      </c>
      <c r="D7" s="11">
        <f>VLOOKUP(A7,Dataset!A2:R41,18,FALSE)</f>
        <v>4.2</v>
      </c>
      <c r="E7" s="11">
        <f>VLOOKUP(A7,Dataset!A2:T41,20,FALSE)</f>
        <v>8.9</v>
      </c>
      <c r="F7" s="8">
        <f>VLOOKUP(A7,Dataset!A2:V41,22,FALSE)</f>
        <v>4.2</v>
      </c>
    </row>
    <row r="8" spans="1:7" ht="14.4" x14ac:dyDescent="0.3">
      <c r="A8" s="7" t="s">
        <v>7</v>
      </c>
      <c r="B8" s="11">
        <f>VLOOKUP(A8,Dataset!A3:G42,7,FALSE)</f>
        <v>3.6</v>
      </c>
      <c r="C8" s="11">
        <f>VLOOKUP(A8,Dataset!A3:N42,14,FALSE)</f>
        <v>11.1</v>
      </c>
      <c r="D8" s="11">
        <f>VLOOKUP(A8,Dataset!A3:R42,18,FALSE)</f>
        <v>5.8</v>
      </c>
      <c r="E8" s="11">
        <f>VLOOKUP(A8,Dataset!A3:T42,20,FALSE)</f>
        <v>12.2</v>
      </c>
      <c r="F8" s="8">
        <f>VLOOKUP(A8,Dataset!A3:V42,22,FALSE)</f>
        <v>5.8</v>
      </c>
    </row>
    <row r="9" spans="1:7" ht="14.4" x14ac:dyDescent="0.3">
      <c r="A9" s="7" t="s">
        <v>8</v>
      </c>
      <c r="B9" s="11">
        <f>VLOOKUP(A9,Dataset!A4:G43,7,FALSE)</f>
        <v>4.9000000000000004</v>
      </c>
      <c r="C9" s="11">
        <f>VLOOKUP(A9,Dataset!A4:N43,14,FALSE)</f>
        <v>13.3</v>
      </c>
      <c r="D9" s="11">
        <f>VLOOKUP(A9,Dataset!A4:R43,18,FALSE)</f>
        <v>8.1</v>
      </c>
      <c r="E9" s="11">
        <f>VLOOKUP(A9,Dataset!A4:T43,20,FALSE)</f>
        <v>17</v>
      </c>
      <c r="F9" s="8">
        <f>VLOOKUP(A9,Dataset!A4:V43,22,FALSE)</f>
        <v>8.1</v>
      </c>
    </row>
    <row r="10" spans="1:7" ht="14.4" x14ac:dyDescent="0.3">
      <c r="A10" s="7" t="s">
        <v>11</v>
      </c>
      <c r="B10" s="11">
        <f>VLOOKUP(A10,Dataset!A5:G44,7,FALSE)</f>
        <v>9.4</v>
      </c>
      <c r="C10" s="11">
        <f>VLOOKUP(A10,Dataset!A5:N44,14,FALSE)</f>
        <v>28.3</v>
      </c>
      <c r="D10" s="11">
        <f>VLOOKUP(A10,Dataset!A5:R44,18,FALSE)</f>
        <v>16.100000000000001</v>
      </c>
      <c r="E10" s="11">
        <f>VLOOKUP(A10,Dataset!A5:T44,20,FALSE)</f>
        <v>32.799999999999997</v>
      </c>
      <c r="F10" s="8">
        <f>VLOOKUP(A10,Dataset!A5:V44,22,FALSE)</f>
        <v>16.100000000000001</v>
      </c>
    </row>
    <row r="11" spans="1:7" ht="14.4" x14ac:dyDescent="0.3">
      <c r="A11" s="7" t="s">
        <v>12</v>
      </c>
      <c r="B11" s="11">
        <f>VLOOKUP(A11,Dataset!A6:G45,7,FALSE)</f>
        <v>11.6</v>
      </c>
      <c r="C11" s="11">
        <f>VLOOKUP(A11,Dataset!A6:N45,14,FALSE)</f>
        <v>35.200000000000003</v>
      </c>
      <c r="D11" s="11">
        <f>VLOOKUP(A11,Dataset!A6:R45,18,FALSE)</f>
        <v>21.3</v>
      </c>
      <c r="E11" s="11">
        <f>VLOOKUP(A11,Dataset!A6:T45,20,FALSE)</f>
        <v>43</v>
      </c>
      <c r="F11" s="8">
        <f>VLOOKUP(A11,Dataset!A6:V45,22,FALSE)</f>
        <v>21.3</v>
      </c>
    </row>
    <row r="12" spans="1:7" ht="14.4" x14ac:dyDescent="0.3">
      <c r="A12" s="7" t="s">
        <v>14</v>
      </c>
      <c r="B12" s="11">
        <f>VLOOKUP(A12,Dataset!A7:G46,7,FALSE)</f>
        <v>18.399999999999999</v>
      </c>
      <c r="C12" s="11">
        <f>VLOOKUP(A12,Dataset!A7:N46,14,FALSE)</f>
        <v>55.6</v>
      </c>
      <c r="D12" s="11">
        <f>VLOOKUP(A12,Dataset!A7:R46,18,FALSE)</f>
        <v>33.799999999999997</v>
      </c>
      <c r="E12" s="11">
        <f>VLOOKUP(A12,Dataset!A7:T46,20,FALSE)</f>
        <v>67.900000000000006</v>
      </c>
      <c r="F12" s="8">
        <f>VLOOKUP(A12,Dataset!A7:V46,22,FALSE)</f>
        <v>33.799999999999997</v>
      </c>
    </row>
    <row r="13" spans="1:7" ht="14.4" x14ac:dyDescent="0.3">
      <c r="A13" s="7" t="s">
        <v>15</v>
      </c>
      <c r="B13" s="11">
        <f>VLOOKUP(A13,Dataset!A8:G47,7,FALSE)</f>
        <v>0</v>
      </c>
      <c r="C13" s="11">
        <f>VLOOKUP(A13,Dataset!A8:N47,14,FALSE)</f>
        <v>0</v>
      </c>
      <c r="D13" s="11">
        <f>VLOOKUP(A13,Dataset!A8:R47,18,FALSE)</f>
        <v>0</v>
      </c>
      <c r="E13" s="11">
        <f>VLOOKUP(A13,Dataset!A8:T47,20,FALSE)</f>
        <v>0</v>
      </c>
      <c r="F13" s="8">
        <f>VLOOKUP(A13,Dataset!A8:V47,22,FALSE)</f>
        <v>0</v>
      </c>
    </row>
    <row r="14" spans="1:7" ht="14.4" x14ac:dyDescent="0.3">
      <c r="A14" s="7" t="s">
        <v>16</v>
      </c>
      <c r="B14" s="11">
        <f>VLOOKUP(A14,Dataset!A9:G48,7,FALSE)</f>
        <v>21.9</v>
      </c>
      <c r="C14" s="11">
        <f>VLOOKUP(A14,Dataset!A9:N48,14,FALSE)</f>
        <v>61.5</v>
      </c>
      <c r="D14" s="11">
        <f>VLOOKUP(A14,Dataset!A9:R48,18,FALSE)</f>
        <v>40.1</v>
      </c>
      <c r="E14" s="11">
        <f>VLOOKUP(A14,Dataset!A9:T48,20,FALSE)</f>
        <v>76.599999999999994</v>
      </c>
      <c r="F14" s="8">
        <f>VLOOKUP(A14,Dataset!A9:V48,22,FALSE)</f>
        <v>40.1</v>
      </c>
    </row>
    <row r="15" spans="1:7" ht="14.4" x14ac:dyDescent="0.3">
      <c r="A15" s="7" t="s">
        <v>18</v>
      </c>
      <c r="B15" s="11">
        <f>VLOOKUP(A15,Dataset!A10:G49,7,FALSE)</f>
        <v>26.8</v>
      </c>
      <c r="C15" s="11">
        <f>VLOOKUP(A15,Dataset!A10:N49,14,FALSE)</f>
        <v>79.599999999999994</v>
      </c>
      <c r="D15" s="11">
        <f>VLOOKUP(A15,Dataset!A10:R49,18,FALSE)</f>
        <v>47.9</v>
      </c>
      <c r="E15" s="11">
        <f>VLOOKUP(A15,Dataset!A10:T49,20,FALSE)</f>
        <v>96.8</v>
      </c>
      <c r="F15" s="8">
        <f>VLOOKUP(A15,Dataset!A10:V49,22,FALSE)</f>
        <v>47.9</v>
      </c>
    </row>
    <row r="16" spans="1:7" ht="14.4" x14ac:dyDescent="0.3">
      <c r="A16" s="7" t="s">
        <v>20</v>
      </c>
      <c r="B16" s="11">
        <f>VLOOKUP(A16,Dataset!A11:G50,7,FALSE)</f>
        <v>28.5</v>
      </c>
      <c r="C16" s="11">
        <f>VLOOKUP(A16,Dataset!A11:N50,14,FALSE)</f>
        <v>85.4</v>
      </c>
      <c r="D16" s="11">
        <f>VLOOKUP(A16,Dataset!A11:R50,18,FALSE)</f>
        <v>52.3</v>
      </c>
      <c r="E16" s="11">
        <f>VLOOKUP(A16,Dataset!A11:T50,20,FALSE)</f>
        <v>106.1</v>
      </c>
      <c r="F16" s="8">
        <f>VLOOKUP(A16,Dataset!A11:V50,22,FALSE)</f>
        <v>52.3</v>
      </c>
    </row>
    <row r="17" spans="1:6" ht="14.4" x14ac:dyDescent="0.3">
      <c r="A17" s="7" t="s">
        <v>22</v>
      </c>
      <c r="B17" s="11">
        <f>VLOOKUP(A17,Dataset!A12:G51,7,FALSE)</f>
        <v>30.7</v>
      </c>
      <c r="C17" s="11">
        <f>VLOOKUP(A17,Dataset!A12:N51,14,FALSE)</f>
        <v>92.1</v>
      </c>
      <c r="D17" s="11">
        <f>VLOOKUP(A17,Dataset!A12:R51,18,FALSE)</f>
        <v>57</v>
      </c>
      <c r="E17" s="11">
        <f>VLOOKUP(A17,Dataset!A12:T51,20,FALSE)</f>
        <v>115.1</v>
      </c>
      <c r="F17" s="8">
        <f>VLOOKUP(A17,Dataset!A12:V51,22,FALSE)</f>
        <v>57</v>
      </c>
    </row>
    <row r="18" spans="1:6" ht="14.4" x14ac:dyDescent="0.3">
      <c r="A18" s="7" t="s">
        <v>23</v>
      </c>
      <c r="B18" s="11">
        <f>VLOOKUP(A18,Dataset!A13:G52,7,FALSE)</f>
        <v>33.799999999999997</v>
      </c>
      <c r="C18" s="11">
        <f>VLOOKUP(A18,Dataset!A13:N52,14,FALSE)</f>
        <v>101.3</v>
      </c>
      <c r="D18" s="11">
        <f>VLOOKUP(A18,Dataset!A13:R52,18,FALSE)</f>
        <v>61.4</v>
      </c>
      <c r="E18" s="11">
        <f>VLOOKUP(A18,Dataset!A13:T52,20,FALSE)</f>
        <v>124.4</v>
      </c>
      <c r="F18" s="8">
        <f>VLOOKUP(A18,Dataset!A13:V52,22,FALSE)</f>
        <v>61.4</v>
      </c>
    </row>
    <row r="19" spans="1:6" ht="14.4" x14ac:dyDescent="0.3">
      <c r="A19" s="7" t="s">
        <v>24</v>
      </c>
      <c r="B19" s="11">
        <f>VLOOKUP(A19,Dataset!A14:G53,7,FALSE)</f>
        <v>34.700000000000003</v>
      </c>
      <c r="C19" s="11">
        <f>VLOOKUP(A19,Dataset!A14:N53,14,FALSE)</f>
        <v>106.1</v>
      </c>
      <c r="D19" s="11">
        <f>VLOOKUP(A19,Dataset!A14:R53,18,FALSE)</f>
        <v>63.6</v>
      </c>
      <c r="E19" s="11">
        <f>VLOOKUP(A19,Dataset!A14:T53,20,FALSE)</f>
        <v>128.6</v>
      </c>
      <c r="F19" s="8">
        <f>VLOOKUP(A19,Dataset!A14:V53,22,FALSE)</f>
        <v>63.6</v>
      </c>
    </row>
    <row r="20" spans="1:6" ht="14.4" x14ac:dyDescent="0.3">
      <c r="A20" s="7" t="s">
        <v>28</v>
      </c>
      <c r="B20" s="11">
        <f>VLOOKUP(A20,Dataset!A15:G54,7,FALSE)</f>
        <v>0</v>
      </c>
      <c r="C20" s="11">
        <f>VLOOKUP(A20,Dataset!A15:N54,14,FALSE)</f>
        <v>0</v>
      </c>
      <c r="D20" s="11">
        <f>VLOOKUP(A20,Dataset!A15:R54,18,FALSE)</f>
        <v>0</v>
      </c>
      <c r="E20" s="11">
        <f>VLOOKUP(A20,Dataset!A15:T54,20,FALSE)</f>
        <v>0</v>
      </c>
      <c r="F20" s="8">
        <f>VLOOKUP(A20,Dataset!A15:V54,22,FALSE)</f>
        <v>0</v>
      </c>
    </row>
    <row r="21" spans="1:6" ht="14.4" x14ac:dyDescent="0.3">
      <c r="A21" s="7" t="s">
        <v>57</v>
      </c>
      <c r="B21" s="11">
        <f>VLOOKUP(A21,Dataset!A16:G55,7,FALSE)</f>
        <v>41.3</v>
      </c>
      <c r="C21" s="11">
        <f>VLOOKUP(A21,Dataset!A16:N55,14,FALSE)</f>
        <v>124.4</v>
      </c>
      <c r="D21" s="11">
        <f>VLOOKUP(A21,Dataset!A16:R55,18,FALSE)</f>
        <v>75</v>
      </c>
      <c r="E21" s="11">
        <f>VLOOKUP(A21,Dataset!A16:T55,20,FALSE)</f>
        <v>151.5</v>
      </c>
      <c r="F21" s="8">
        <f>VLOOKUP(A21,Dataset!A16:V55,22,FALSE)</f>
        <v>75</v>
      </c>
    </row>
    <row r="22" spans="1:6" ht="14.4" x14ac:dyDescent="0.3">
      <c r="A22" s="7" t="s">
        <v>58</v>
      </c>
      <c r="B22" s="11">
        <f>VLOOKUP(A22,Dataset!A17:G56,7,FALSE)</f>
        <v>-1</v>
      </c>
      <c r="C22" s="11">
        <f>VLOOKUP(A22,Dataset!A17:N56,14,FALSE)</f>
        <v>-1</v>
      </c>
      <c r="D22" s="11">
        <f>VLOOKUP(A22,Dataset!A17:R56,18,FALSE)</f>
        <v>-1</v>
      </c>
      <c r="E22" s="11">
        <f>VLOOKUP(A22,Dataset!A17:T56,20,FALSE)</f>
        <v>-1</v>
      </c>
      <c r="F22" s="8">
        <f>VLOOKUP(A22,Dataset!A17:V56,22,FALSE)</f>
        <v>-1</v>
      </c>
    </row>
    <row r="23" spans="1:6" ht="14.4" x14ac:dyDescent="0.3">
      <c r="A23" s="7" t="s">
        <v>31</v>
      </c>
      <c r="B23" s="11">
        <f>VLOOKUP(A23,Dataset!A18:G57,7,FALSE)</f>
        <v>45</v>
      </c>
      <c r="C23" s="11">
        <f>VLOOKUP(A23,Dataset!A18:N57,14,FALSE)</f>
        <v>133.4</v>
      </c>
      <c r="D23" s="11">
        <f>VLOOKUP(A23,Dataset!A18:R57,18,FALSE)</f>
        <v>79.400000000000006</v>
      </c>
      <c r="E23" s="11">
        <f>VLOOKUP(A23,Dataset!A18:T57,20,FALSE)</f>
        <v>160.9</v>
      </c>
      <c r="F23" s="8">
        <f>VLOOKUP(A23,Dataset!A18:V57,22,FALSE)</f>
        <v>79.400000000000006</v>
      </c>
    </row>
    <row r="24" spans="1:6" ht="14.4" x14ac:dyDescent="0.3">
      <c r="A24" s="7" t="s">
        <v>32</v>
      </c>
      <c r="B24" s="11">
        <f>VLOOKUP(A24,Dataset!A19:G58,7,FALSE)</f>
        <v>-1</v>
      </c>
      <c r="C24" s="11">
        <f>VLOOKUP(A24,Dataset!A19:N58,14,FALSE)</f>
        <v>-1</v>
      </c>
      <c r="D24" s="11">
        <f>VLOOKUP(A24,Dataset!A19:R58,18,FALSE)</f>
        <v>-1</v>
      </c>
      <c r="E24" s="11">
        <f>VLOOKUP(A24,Dataset!A19:T58,20,FALSE)</f>
        <v>-1</v>
      </c>
      <c r="F24" s="8">
        <f>VLOOKUP(A24,Dataset!A19:V58,22,FALSE)</f>
        <v>-1</v>
      </c>
    </row>
    <row r="25" spans="1:6" ht="14.4" x14ac:dyDescent="0.3">
      <c r="A25" s="7" t="s">
        <v>34</v>
      </c>
      <c r="B25" s="11">
        <f>VLOOKUP(A25,Dataset!A20:G59,7,FALSE)</f>
        <v>43.3</v>
      </c>
      <c r="C25" s="11">
        <f>VLOOKUP(A25,Dataset!A20:N59,14,FALSE)</f>
        <v>128.6</v>
      </c>
      <c r="D25" s="11">
        <f>VLOOKUP(A25,Dataset!A20:R59,18,FALSE)</f>
        <v>79.400000000000006</v>
      </c>
      <c r="E25" s="11">
        <f>VLOOKUP(A25,Dataset!A20:T59,20,FALSE)</f>
        <v>160.9</v>
      </c>
      <c r="F25" s="8">
        <f>VLOOKUP(A25,Dataset!A20:V59,22,FALSE)</f>
        <v>79.400000000000006</v>
      </c>
    </row>
    <row r="26" spans="1:6" ht="14.4" x14ac:dyDescent="0.3">
      <c r="A26" s="7" t="s">
        <v>37</v>
      </c>
      <c r="B26" s="11">
        <f>VLOOKUP(A26,Dataset!A21:G60,7,FALSE)</f>
        <v>49.1</v>
      </c>
      <c r="C26" s="11">
        <f>VLOOKUP(A26,Dataset!A21:N60,14,FALSE)</f>
        <v>146.80000000000001</v>
      </c>
      <c r="D26" s="11">
        <f>VLOOKUP(A26,Dataset!A21:R60,18,FALSE)</f>
        <v>90.9</v>
      </c>
      <c r="E26" s="11">
        <f>VLOOKUP(A26,Dataset!A21:T60,20,FALSE)</f>
        <v>183.5</v>
      </c>
      <c r="F26" s="8">
        <f>VLOOKUP(A26,Dataset!A21:V60,22,FALSE)</f>
        <v>90.9</v>
      </c>
    </row>
    <row r="27" spans="1:6" ht="14.4" x14ac:dyDescent="0.3">
      <c r="A27" s="7" t="s">
        <v>39</v>
      </c>
      <c r="B27" s="11">
        <f>VLOOKUP(A27,Dataset!A22:G61,7,FALSE)</f>
        <v>51.8</v>
      </c>
      <c r="C27" s="11">
        <f>VLOOKUP(A27,Dataset!A22:N61,14,FALSE)</f>
        <v>156.4</v>
      </c>
      <c r="D27" s="11">
        <f>VLOOKUP(A27,Dataset!A22:R61,18,FALSE)</f>
        <v>93.1</v>
      </c>
      <c r="E27" s="11">
        <f>VLOOKUP(A27,Dataset!A22:T61,20,FALSE)</f>
        <v>188.1</v>
      </c>
      <c r="F27" s="8">
        <f>VLOOKUP(A27,Dataset!A22:V61,22,FALSE)</f>
        <v>93.1</v>
      </c>
    </row>
    <row r="28" spans="1:6" ht="14.4" x14ac:dyDescent="0.3">
      <c r="A28" s="18" t="s">
        <v>82</v>
      </c>
      <c r="B28" s="11">
        <f>MIN(B5:B27)</f>
        <v>-1</v>
      </c>
      <c r="C28" s="11">
        <f t="shared" ref="C28:F28" si="0">MIN(C5:C27)</f>
        <v>-1</v>
      </c>
      <c r="D28" s="11">
        <f t="shared" si="0"/>
        <v>-1</v>
      </c>
      <c r="E28" s="11">
        <f t="shared" si="0"/>
        <v>-1</v>
      </c>
      <c r="F28" s="11">
        <f t="shared" si="0"/>
        <v>-1</v>
      </c>
    </row>
    <row r="29" spans="1:6" ht="14.4" x14ac:dyDescent="0.3">
      <c r="A29" s="18" t="s">
        <v>83</v>
      </c>
      <c r="B29" s="11">
        <f>MAX(B6:B27)</f>
        <v>51.8</v>
      </c>
      <c r="C29" s="11">
        <f t="shared" ref="C29:F29" si="1">MAX(C6:C27)</f>
        <v>156.4</v>
      </c>
      <c r="D29" s="11">
        <f t="shared" si="1"/>
        <v>93.1</v>
      </c>
      <c r="E29" s="11">
        <f t="shared" si="1"/>
        <v>188.1</v>
      </c>
      <c r="F29" s="11">
        <f t="shared" si="1"/>
        <v>93.1</v>
      </c>
    </row>
    <row r="30" spans="1:6" ht="14.4" x14ac:dyDescent="0.3">
      <c r="A30" s="18" t="s">
        <v>84</v>
      </c>
      <c r="B30" s="11">
        <f>AVERAGE(B6:B27)</f>
        <v>20.827272727272728</v>
      </c>
      <c r="C30" s="11">
        <f t="shared" ref="C30:F30" si="2">AVERAGE(C6:C27)</f>
        <v>62.377272727272725</v>
      </c>
      <c r="D30" s="11">
        <f t="shared" si="2"/>
        <v>37.800000000000004</v>
      </c>
      <c r="E30" s="11">
        <f t="shared" si="2"/>
        <v>76.418181818181822</v>
      </c>
      <c r="F30" s="1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L54"/>
  <sheetViews>
    <sheetView topLeftCell="A37" zoomScaleNormal="100" workbookViewId="0">
      <selection activeCell="B5" sqref="B5:L6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2" s="39" customFormat="1" ht="21" x14ac:dyDescent="0.4">
      <c r="A1" s="40" t="s">
        <v>56</v>
      </c>
      <c r="B1" s="39" t="s">
        <v>174</v>
      </c>
    </row>
    <row r="2" spans="1:12" customFormat="1" ht="13.2" x14ac:dyDescent="0.25"/>
    <row r="3" spans="1:12" s="2" customFormat="1" x14ac:dyDescent="0.3">
      <c r="B3" s="1"/>
    </row>
    <row r="4" spans="1:12" s="2" customFormat="1" x14ac:dyDescent="0.3">
      <c r="B4" s="1" t="s">
        <v>151</v>
      </c>
    </row>
    <row r="5" spans="1:12" ht="18" x14ac:dyDescent="0.35">
      <c r="A5" s="41" t="s">
        <v>53</v>
      </c>
      <c r="B5" s="45" t="s">
        <v>180</v>
      </c>
      <c r="C5" s="46"/>
      <c r="D5" s="46"/>
      <c r="E5" s="46"/>
      <c r="F5" s="46"/>
      <c r="G5" s="46"/>
      <c r="H5" s="46"/>
      <c r="I5" s="46"/>
      <c r="J5" s="46"/>
      <c r="K5" s="46"/>
      <c r="L5" s="46"/>
    </row>
    <row r="6" spans="1:12" ht="18" x14ac:dyDescent="0.35">
      <c r="A6" s="41" t="s">
        <v>153</v>
      </c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</row>
    <row r="7" spans="1:12" ht="18" x14ac:dyDescent="0.35">
      <c r="A7" s="41"/>
      <c r="B7" s="38"/>
    </row>
    <row r="9" spans="1:12" ht="23.4" x14ac:dyDescent="0.45">
      <c r="A9" s="17" t="s">
        <v>165</v>
      </c>
      <c r="I9" s="2"/>
      <c r="J9" s="2"/>
    </row>
    <row r="10" spans="1:12" x14ac:dyDescent="0.3">
      <c r="A10" s="31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2" x14ac:dyDescent="0.3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2" ht="23.4" x14ac:dyDescent="0.45">
      <c r="A14" s="17" t="s">
        <v>162</v>
      </c>
    </row>
    <row r="15" spans="1:12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2" x14ac:dyDescent="0.3">
      <c r="A16" s="7" t="s">
        <v>121</v>
      </c>
      <c r="B16" s="11" t="str">
        <f>LEFT(A16, FIND("-", A16) - 1)</f>
        <v>20000</v>
      </c>
      <c r="C16" s="1" t="str">
        <f>MID(A16, FIND("-", A16) + 1, FIND("-", A16, FIND("-", A16) + 1) - FIND("-", A16) - 1)</f>
        <v>Monday</v>
      </c>
      <c r="D16" s="11" t="str">
        <f>MID(A16, FIND("-", A16, FIND("-", A16) + 1) + 1, FIND("-", A16, FIND("-", A16, FIND("-", A16) + 1) + 1) - FIND("-", A16, FIND("-", A16) + 1) - 1)</f>
        <v>0</v>
      </c>
      <c r="E16" s="1" t="str">
        <f>MID(A16, FIND("-", A16, FIND("-", A16, FIND("-", A16) + 1) + 1) + 1, FIND("-", A16, FIND("-", A16, FIND("-", A16, FIND("-", A16) + 1) + 1) + 1) - FIND("-", A16, FIND("-", A16, FIND("-", A16) + 1) + 1) - 1)</f>
        <v>Sunday</v>
      </c>
      <c r="F16" s="11" t="str">
        <f>MID(A16, FIND("-", A16, FIND("-", A16, FIND("-", A16, FIND("-", A16) + 1) + 1) + 1) + 1, LEN(A16))</f>
        <v>24</v>
      </c>
    </row>
    <row r="17" spans="1:6" x14ac:dyDescent="0.3">
      <c r="A17" s="7" t="s">
        <v>122</v>
      </c>
      <c r="B17" s="11" t="str">
        <f t="shared" ref="B17:B54" si="0">LEFT(A17, FIND("-", A17) - 1)</f>
        <v>20002</v>
      </c>
      <c r="C17" s="1" t="str">
        <f t="shared" ref="C17:C54" si="1">MID(A17, FIND("-", A17) + 1, FIND("-", A17, FIND("-", A17) + 1) - FIND("-", A17) - 1)</f>
        <v>Monday</v>
      </c>
      <c r="D17" s="11" t="str">
        <f t="shared" ref="D17:D54" si="2">MID(A17, FIND("-", A17, FIND("-", A17) + 1) + 1, FIND("-", A17, FIND("-", A17, FIND("-", A17) + 1) + 1) - FIND("-", A17, FIND("-", A17) + 1) - 1)</f>
        <v>0</v>
      </c>
      <c r="E17" s="1" t="str">
        <f t="shared" ref="E17:E54" si="3">MID(A17, FIND("-", A17, FIND("-", A17, FIND("-", A17) + 1) + 1) + 1, FIND("-", A17, FIND("-", A17, FIND("-", A17, FIND("-", A17) + 1) + 1) + 1) - FIND("-", A17, FIND("-", A17, FIND("-", A17) + 1) + 1) - 1)</f>
        <v>Sunday</v>
      </c>
      <c r="F17" s="11" t="str">
        <f t="shared" ref="F17:F54" si="4">MID(A17, FIND("-", A17, FIND("-", A17, FIND("-", A17, FIND("-", A17) + 1) + 1) + 1) + 1, LEN(A17))</f>
        <v>24</v>
      </c>
    </row>
    <row r="18" spans="1:6" x14ac:dyDescent="0.3">
      <c r="A18" s="7" t="s">
        <v>123</v>
      </c>
      <c r="B18" s="11" t="str">
        <f t="shared" si="0"/>
        <v>20004</v>
      </c>
      <c r="C18" s="1" t="str">
        <f t="shared" si="1"/>
        <v>Monday</v>
      </c>
      <c r="D18" s="11" t="str">
        <f t="shared" si="2"/>
        <v>0</v>
      </c>
      <c r="E18" s="1" t="str">
        <f t="shared" si="3"/>
        <v>Sunday</v>
      </c>
      <c r="F18" s="11" t="str">
        <f t="shared" si="4"/>
        <v>24</v>
      </c>
    </row>
    <row r="19" spans="1:6" x14ac:dyDescent="0.3">
      <c r="A19" s="7" t="s">
        <v>124</v>
      </c>
      <c r="B19" s="11" t="str">
        <f t="shared" si="0"/>
        <v>20006</v>
      </c>
      <c r="C19" s="1" t="str">
        <f t="shared" si="1"/>
        <v>Monday</v>
      </c>
      <c r="D19" s="11" t="str">
        <f t="shared" si="2"/>
        <v>0</v>
      </c>
      <c r="E19" s="1" t="str">
        <f t="shared" si="3"/>
        <v>Sunday</v>
      </c>
      <c r="F19" s="11" t="str">
        <f t="shared" si="4"/>
        <v>24</v>
      </c>
    </row>
    <row r="20" spans="1:6" x14ac:dyDescent="0.3">
      <c r="A20" s="7" t="s">
        <v>125</v>
      </c>
      <c r="B20" s="11" t="str">
        <f t="shared" si="0"/>
        <v>20008</v>
      </c>
      <c r="C20" s="1" t="str">
        <f t="shared" si="1"/>
        <v>Monday</v>
      </c>
      <c r="D20" s="11" t="str">
        <f t="shared" si="2"/>
        <v>0</v>
      </c>
      <c r="E20" s="1" t="str">
        <f t="shared" si="3"/>
        <v>Sunday</v>
      </c>
      <c r="F20" s="11" t="str">
        <f t="shared" si="4"/>
        <v>24</v>
      </c>
    </row>
    <row r="21" spans="1:6" x14ac:dyDescent="0.3">
      <c r="A21" s="7" t="s">
        <v>126</v>
      </c>
      <c r="B21" s="11" t="str">
        <f t="shared" si="0"/>
        <v>20010</v>
      </c>
      <c r="C21" s="1" t="str">
        <f t="shared" si="1"/>
        <v>Monday</v>
      </c>
      <c r="D21" s="11" t="str">
        <f t="shared" si="2"/>
        <v>0</v>
      </c>
      <c r="E21" s="1" t="str">
        <f t="shared" si="3"/>
        <v>Sunday</v>
      </c>
      <c r="F21" s="11" t="str">
        <f t="shared" si="4"/>
        <v>24</v>
      </c>
    </row>
    <row r="22" spans="1:6" x14ac:dyDescent="0.3">
      <c r="A22" s="7" t="s">
        <v>127</v>
      </c>
      <c r="B22" s="11" t="str">
        <f t="shared" si="0"/>
        <v>20012</v>
      </c>
      <c r="C22" s="1" t="str">
        <f t="shared" si="1"/>
        <v>Monday</v>
      </c>
      <c r="D22" s="11" t="str">
        <f t="shared" si="2"/>
        <v>0</v>
      </c>
      <c r="E22" s="1" t="str">
        <f t="shared" si="3"/>
        <v>Sunday</v>
      </c>
      <c r="F22" s="11" t="str">
        <f t="shared" si="4"/>
        <v>24</v>
      </c>
    </row>
    <row r="23" spans="1:6" x14ac:dyDescent="0.3">
      <c r="A23" s="7" t="s">
        <v>128</v>
      </c>
      <c r="B23" s="11" t="str">
        <f t="shared" si="0"/>
        <v>20014</v>
      </c>
      <c r="C23" s="1" t="str">
        <f t="shared" si="1"/>
        <v>Monday</v>
      </c>
      <c r="D23" s="11" t="str">
        <f t="shared" si="2"/>
        <v>0</v>
      </c>
      <c r="E23" s="1" t="str">
        <f t="shared" si="3"/>
        <v>Sunday</v>
      </c>
      <c r="F23" s="11" t="str">
        <f t="shared" si="4"/>
        <v>24</v>
      </c>
    </row>
    <row r="24" spans="1:6" x14ac:dyDescent="0.3">
      <c r="A24" s="7" t="s">
        <v>129</v>
      </c>
      <c r="B24" s="11" t="str">
        <f t="shared" si="0"/>
        <v>20016</v>
      </c>
      <c r="C24" s="1" t="str">
        <f t="shared" si="1"/>
        <v>Monday</v>
      </c>
      <c r="D24" s="11" t="str">
        <f t="shared" si="2"/>
        <v>0</v>
      </c>
      <c r="E24" s="1" t="str">
        <f t="shared" si="3"/>
        <v>Sunday</v>
      </c>
      <c r="F24" s="11" t="str">
        <f t="shared" si="4"/>
        <v>24</v>
      </c>
    </row>
    <row r="25" spans="1:6" x14ac:dyDescent="0.3">
      <c r="A25" s="7" t="s">
        <v>130</v>
      </c>
      <c r="B25" s="11" t="str">
        <f t="shared" si="0"/>
        <v>20018</v>
      </c>
      <c r="C25" s="1" t="str">
        <f t="shared" si="1"/>
        <v>Monday</v>
      </c>
      <c r="D25" s="11" t="str">
        <f t="shared" si="2"/>
        <v>0</v>
      </c>
      <c r="E25" s="1" t="str">
        <f t="shared" si="3"/>
        <v>Sunday</v>
      </c>
      <c r="F25" s="11" t="str">
        <f t="shared" si="4"/>
        <v>24</v>
      </c>
    </row>
    <row r="26" spans="1:6" x14ac:dyDescent="0.3">
      <c r="A26" s="7" t="s">
        <v>131</v>
      </c>
      <c r="B26" s="11" t="str">
        <f t="shared" si="0"/>
        <v>20020</v>
      </c>
      <c r="C26" s="1" t="str">
        <f t="shared" si="1"/>
        <v>Monday</v>
      </c>
      <c r="D26" s="11" t="str">
        <f t="shared" si="2"/>
        <v>0</v>
      </c>
      <c r="E26" s="1" t="str">
        <f t="shared" si="3"/>
        <v>Sunday</v>
      </c>
      <c r="F26" s="11" t="str">
        <f t="shared" si="4"/>
        <v>24</v>
      </c>
    </row>
    <row r="27" spans="1:6" x14ac:dyDescent="0.3">
      <c r="A27" s="7" t="s">
        <v>132</v>
      </c>
      <c r="B27" s="11" t="str">
        <f t="shared" si="0"/>
        <v>20022</v>
      </c>
      <c r="C27" s="1" t="str">
        <f t="shared" si="1"/>
        <v>Monday</v>
      </c>
      <c r="D27" s="11" t="str">
        <f t="shared" si="2"/>
        <v>0</v>
      </c>
      <c r="E27" s="1" t="str">
        <f t="shared" si="3"/>
        <v>Sunday</v>
      </c>
      <c r="F27" s="11" t="str">
        <f t="shared" si="4"/>
        <v>24</v>
      </c>
    </row>
    <row r="28" spans="1:6" x14ac:dyDescent="0.3">
      <c r="A28" s="7" t="s">
        <v>133</v>
      </c>
      <c r="B28" s="11" t="str">
        <f t="shared" si="0"/>
        <v>20024</v>
      </c>
      <c r="C28" s="1" t="str">
        <f t="shared" si="1"/>
        <v>Monday</v>
      </c>
      <c r="D28" s="11" t="str">
        <f t="shared" si="2"/>
        <v>0</v>
      </c>
      <c r="E28" s="1" t="str">
        <f t="shared" si="3"/>
        <v>Sunday</v>
      </c>
      <c r="F28" s="11" t="str">
        <f t="shared" si="4"/>
        <v>24</v>
      </c>
    </row>
    <row r="29" spans="1:6" x14ac:dyDescent="0.3">
      <c r="A29" s="7" t="s">
        <v>134</v>
      </c>
      <c r="B29" s="11" t="str">
        <f t="shared" si="0"/>
        <v>20026</v>
      </c>
      <c r="C29" s="1" t="str">
        <f t="shared" si="1"/>
        <v>Monday</v>
      </c>
      <c r="D29" s="11" t="str">
        <f t="shared" si="2"/>
        <v>0</v>
      </c>
      <c r="E29" s="1" t="str">
        <f t="shared" si="3"/>
        <v>Sunday</v>
      </c>
      <c r="F29" s="11" t="str">
        <f t="shared" si="4"/>
        <v>24</v>
      </c>
    </row>
    <row r="30" spans="1:6" x14ac:dyDescent="0.3">
      <c r="A30" s="7" t="s">
        <v>135</v>
      </c>
      <c r="B30" s="11" t="str">
        <f t="shared" si="0"/>
        <v>20028</v>
      </c>
      <c r="C30" s="1" t="str">
        <f t="shared" si="1"/>
        <v>Monday</v>
      </c>
      <c r="D30" s="11" t="str">
        <f t="shared" si="2"/>
        <v>0</v>
      </c>
      <c r="E30" s="1" t="str">
        <f t="shared" si="3"/>
        <v>Sunday</v>
      </c>
      <c r="F30" s="11" t="str">
        <f t="shared" si="4"/>
        <v>24</v>
      </c>
    </row>
    <row r="31" spans="1:6" x14ac:dyDescent="0.3">
      <c r="A31" s="7" t="s">
        <v>136</v>
      </c>
      <c r="B31" s="11" t="str">
        <f t="shared" si="0"/>
        <v>20030</v>
      </c>
      <c r="C31" s="1" t="str">
        <f t="shared" si="1"/>
        <v>Monday</v>
      </c>
      <c r="D31" s="11" t="str">
        <f t="shared" si="2"/>
        <v>0</v>
      </c>
      <c r="E31" s="1" t="str">
        <f t="shared" si="3"/>
        <v>Sunday</v>
      </c>
      <c r="F31" s="11" t="str">
        <f t="shared" si="4"/>
        <v>24</v>
      </c>
    </row>
    <row r="32" spans="1:6" x14ac:dyDescent="0.3">
      <c r="A32" s="7" t="s">
        <v>137</v>
      </c>
      <c r="B32" s="11" t="str">
        <f t="shared" si="0"/>
        <v>20032</v>
      </c>
      <c r="C32" s="1" t="str">
        <f t="shared" si="1"/>
        <v>Monday</v>
      </c>
      <c r="D32" s="11" t="str">
        <f t="shared" si="2"/>
        <v>0</v>
      </c>
      <c r="E32" s="1" t="str">
        <f t="shared" si="3"/>
        <v>Sunday</v>
      </c>
      <c r="F32" s="11" t="str">
        <f t="shared" si="4"/>
        <v>24</v>
      </c>
    </row>
    <row r="33" spans="1:6" x14ac:dyDescent="0.3">
      <c r="A33" s="7" t="s">
        <v>138</v>
      </c>
      <c r="B33" s="11" t="str">
        <f t="shared" si="0"/>
        <v>20034</v>
      </c>
      <c r="C33" s="1" t="str">
        <f t="shared" si="1"/>
        <v>Monday</v>
      </c>
      <c r="D33" s="11" t="str">
        <f t="shared" si="2"/>
        <v>0</v>
      </c>
      <c r="E33" s="1" t="str">
        <f t="shared" si="3"/>
        <v>Sunday</v>
      </c>
      <c r="F33" s="11" t="str">
        <f t="shared" si="4"/>
        <v>24</v>
      </c>
    </row>
    <row r="34" spans="1:6" x14ac:dyDescent="0.3">
      <c r="A34" s="7" t="s">
        <v>139</v>
      </c>
      <c r="B34" s="11" t="str">
        <f t="shared" si="0"/>
        <v>20036</v>
      </c>
      <c r="C34" s="1" t="str">
        <f t="shared" si="1"/>
        <v>Monday</v>
      </c>
      <c r="D34" s="11" t="str">
        <f t="shared" si="2"/>
        <v>0</v>
      </c>
      <c r="E34" s="1" t="str">
        <f t="shared" si="3"/>
        <v>Sunday</v>
      </c>
      <c r="F34" s="11" t="str">
        <f t="shared" si="4"/>
        <v>24</v>
      </c>
    </row>
    <row r="35" spans="1:6" x14ac:dyDescent="0.3">
      <c r="A35" s="7" t="s">
        <v>140</v>
      </c>
      <c r="B35" s="11" t="str">
        <f t="shared" si="0"/>
        <v>20038</v>
      </c>
      <c r="C35" s="1" t="str">
        <f t="shared" si="1"/>
        <v>Monday</v>
      </c>
      <c r="D35" s="11" t="str">
        <f t="shared" si="2"/>
        <v>0</v>
      </c>
      <c r="E35" s="1" t="str">
        <f t="shared" si="3"/>
        <v>Sunday</v>
      </c>
      <c r="F35" s="11" t="str">
        <f t="shared" si="4"/>
        <v>24</v>
      </c>
    </row>
    <row r="36" spans="1:6" x14ac:dyDescent="0.3">
      <c r="A36" s="7" t="s">
        <v>141</v>
      </c>
      <c r="B36" s="11" t="str">
        <f t="shared" si="0"/>
        <v>20040</v>
      </c>
      <c r="C36" s="1" t="str">
        <f t="shared" si="1"/>
        <v>Monday</v>
      </c>
      <c r="D36" s="11" t="str">
        <f t="shared" si="2"/>
        <v>0</v>
      </c>
      <c r="E36" s="1" t="str">
        <f t="shared" si="3"/>
        <v>Sunday</v>
      </c>
      <c r="F36" s="11" t="str">
        <f t="shared" si="4"/>
        <v>24</v>
      </c>
    </row>
    <row r="37" spans="1:6" x14ac:dyDescent="0.3">
      <c r="A37" s="7" t="s">
        <v>142</v>
      </c>
      <c r="B37" s="11" t="str">
        <f t="shared" si="0"/>
        <v>20042</v>
      </c>
      <c r="C37" s="1" t="str">
        <f t="shared" si="1"/>
        <v>Monday</v>
      </c>
      <c r="D37" s="11" t="str">
        <f t="shared" si="2"/>
        <v>0</v>
      </c>
      <c r="E37" s="1" t="str">
        <f t="shared" si="3"/>
        <v>Sunday</v>
      </c>
      <c r="F37" s="11" t="str">
        <f t="shared" si="4"/>
        <v>24</v>
      </c>
    </row>
    <row r="38" spans="1:6" x14ac:dyDescent="0.3">
      <c r="A38" s="7" t="s">
        <v>143</v>
      </c>
      <c r="B38" s="11" t="str">
        <f t="shared" si="0"/>
        <v>20044</v>
      </c>
      <c r="C38" s="1" t="str">
        <f t="shared" si="1"/>
        <v>Monday</v>
      </c>
      <c r="D38" s="11" t="str">
        <f t="shared" si="2"/>
        <v>0</v>
      </c>
      <c r="E38" s="1" t="str">
        <f t="shared" si="3"/>
        <v>Sunday</v>
      </c>
      <c r="F38" s="11" t="str">
        <f t="shared" si="4"/>
        <v>24</v>
      </c>
    </row>
    <row r="39" spans="1:6" x14ac:dyDescent="0.3">
      <c r="A39" s="7" t="s">
        <v>144</v>
      </c>
      <c r="B39" s="11" t="str">
        <f t="shared" si="0"/>
        <v>20046</v>
      </c>
      <c r="C39" s="1" t="str">
        <f t="shared" si="1"/>
        <v>Monday</v>
      </c>
      <c r="D39" s="11" t="str">
        <f t="shared" si="2"/>
        <v>0</v>
      </c>
      <c r="E39" s="1" t="str">
        <f t="shared" si="3"/>
        <v>Sunday</v>
      </c>
      <c r="F39" s="11" t="str">
        <f t="shared" si="4"/>
        <v>24</v>
      </c>
    </row>
    <row r="40" spans="1:6" x14ac:dyDescent="0.3">
      <c r="A40" s="7" t="s">
        <v>145</v>
      </c>
      <c r="B40" s="11" t="str">
        <f t="shared" si="0"/>
        <v>20048</v>
      </c>
      <c r="C40" s="1" t="str">
        <f t="shared" si="1"/>
        <v>Monday</v>
      </c>
      <c r="D40" s="11" t="str">
        <f t="shared" si="2"/>
        <v>0</v>
      </c>
      <c r="E40" s="1" t="str">
        <f t="shared" si="3"/>
        <v>Sunday</v>
      </c>
      <c r="F40" s="11" t="str">
        <f t="shared" si="4"/>
        <v>24</v>
      </c>
    </row>
    <row r="41" spans="1:6" x14ac:dyDescent="0.3">
      <c r="A41" s="7" t="s">
        <v>146</v>
      </c>
      <c r="B41" s="11" t="str">
        <f t="shared" si="0"/>
        <v>20050</v>
      </c>
      <c r="C41" s="1" t="str">
        <f t="shared" si="1"/>
        <v>Monday</v>
      </c>
      <c r="D41" s="11" t="str">
        <f t="shared" si="2"/>
        <v>0</v>
      </c>
      <c r="E41" s="1" t="str">
        <f t="shared" si="3"/>
        <v>Sunday</v>
      </c>
      <c r="F41" s="11" t="str">
        <f t="shared" si="4"/>
        <v>24</v>
      </c>
    </row>
    <row r="42" spans="1:6" x14ac:dyDescent="0.3">
      <c r="A42" s="7" t="s">
        <v>147</v>
      </c>
      <c r="B42" s="11" t="str">
        <f t="shared" si="0"/>
        <v>20052</v>
      </c>
      <c r="C42" s="1" t="str">
        <f t="shared" si="1"/>
        <v>Monday</v>
      </c>
      <c r="D42" s="11" t="str">
        <f t="shared" si="2"/>
        <v>0</v>
      </c>
      <c r="E42" s="1" t="str">
        <f t="shared" si="3"/>
        <v>Sunday</v>
      </c>
      <c r="F42" s="11" t="str">
        <f t="shared" si="4"/>
        <v>24</v>
      </c>
    </row>
    <row r="43" spans="1:6" x14ac:dyDescent="0.3">
      <c r="A43" s="7" t="s">
        <v>148</v>
      </c>
      <c r="B43" s="11" t="str">
        <f t="shared" si="0"/>
        <v>20054</v>
      </c>
      <c r="C43" s="1" t="str">
        <f t="shared" si="1"/>
        <v>Monday</v>
      </c>
      <c r="D43" s="11" t="str">
        <f t="shared" si="2"/>
        <v>0</v>
      </c>
      <c r="E43" s="1" t="str">
        <f t="shared" si="3"/>
        <v>Sunday</v>
      </c>
      <c r="F43" s="11" t="str">
        <f t="shared" si="4"/>
        <v>24</v>
      </c>
    </row>
    <row r="44" spans="1:6" x14ac:dyDescent="0.3">
      <c r="A44" s="7" t="s">
        <v>149</v>
      </c>
      <c r="B44" s="11" t="str">
        <f t="shared" si="0"/>
        <v>20058</v>
      </c>
      <c r="C44" s="1" t="str">
        <f t="shared" si="1"/>
        <v>Monday</v>
      </c>
      <c r="D44" s="11" t="str">
        <f t="shared" si="2"/>
        <v>0</v>
      </c>
      <c r="E44" s="1" t="str">
        <f t="shared" si="3"/>
        <v>Sunday</v>
      </c>
      <c r="F44" s="11" t="str">
        <f t="shared" si="4"/>
        <v>24</v>
      </c>
    </row>
    <row r="45" spans="1:6" x14ac:dyDescent="0.3">
      <c r="A45" s="7" t="s">
        <v>150</v>
      </c>
      <c r="B45" s="11" t="str">
        <f t="shared" si="0"/>
        <v>20060</v>
      </c>
      <c r="C45" s="1" t="str">
        <f t="shared" si="1"/>
        <v>Monday</v>
      </c>
      <c r="D45" s="11" t="str">
        <f t="shared" si="2"/>
        <v>0</v>
      </c>
      <c r="E45" s="1" t="str">
        <f t="shared" si="3"/>
        <v>Sunday</v>
      </c>
      <c r="F45" s="11" t="str">
        <f t="shared" si="4"/>
        <v>24</v>
      </c>
    </row>
    <row r="46" spans="1:6" x14ac:dyDescent="0.3">
      <c r="A46" s="7" t="s">
        <v>112</v>
      </c>
      <c r="B46" s="11" t="str">
        <f t="shared" si="0"/>
        <v>21000</v>
      </c>
      <c r="C46" s="1" t="str">
        <f t="shared" si="1"/>
        <v>Monday</v>
      </c>
      <c r="D46" s="11" t="str">
        <f t="shared" si="2"/>
        <v>0</v>
      </c>
      <c r="E46" s="1" t="str">
        <f t="shared" si="3"/>
        <v>Sunday</v>
      </c>
      <c r="F46" s="11" t="str">
        <f t="shared" si="4"/>
        <v>24</v>
      </c>
    </row>
    <row r="47" spans="1:6" x14ac:dyDescent="0.3">
      <c r="A47" s="7" t="s">
        <v>113</v>
      </c>
      <c r="B47" s="11" t="str">
        <f t="shared" si="0"/>
        <v>21002</v>
      </c>
      <c r="C47" s="1" t="str">
        <f t="shared" si="1"/>
        <v>Monday</v>
      </c>
      <c r="D47" s="11" t="str">
        <f t="shared" si="2"/>
        <v>0</v>
      </c>
      <c r="E47" s="1" t="str">
        <f t="shared" si="3"/>
        <v>Sunday</v>
      </c>
      <c r="F47" s="11" t="str">
        <f t="shared" si="4"/>
        <v>24</v>
      </c>
    </row>
    <row r="48" spans="1:6" x14ac:dyDescent="0.3">
      <c r="A48" s="7" t="s">
        <v>114</v>
      </c>
      <c r="B48" s="11" t="str">
        <f t="shared" si="0"/>
        <v>21004</v>
      </c>
      <c r="C48" s="1" t="str">
        <f t="shared" si="1"/>
        <v>Monday</v>
      </c>
      <c r="D48" s="11" t="str">
        <f t="shared" si="2"/>
        <v>0</v>
      </c>
      <c r="E48" s="1" t="str">
        <f t="shared" si="3"/>
        <v>Sunday</v>
      </c>
      <c r="F48" s="11" t="str">
        <f t="shared" si="4"/>
        <v>24</v>
      </c>
    </row>
    <row r="49" spans="1:6" x14ac:dyDescent="0.3">
      <c r="A49" s="7" t="s">
        <v>115</v>
      </c>
      <c r="B49" s="11" t="str">
        <f t="shared" si="0"/>
        <v>21006</v>
      </c>
      <c r="C49" s="1" t="str">
        <f t="shared" si="1"/>
        <v>Monday</v>
      </c>
      <c r="D49" s="11" t="str">
        <f t="shared" si="2"/>
        <v>0</v>
      </c>
      <c r="E49" s="1" t="str">
        <f t="shared" si="3"/>
        <v>Sunday</v>
      </c>
      <c r="F49" s="11" t="str">
        <f t="shared" si="4"/>
        <v>24</v>
      </c>
    </row>
    <row r="50" spans="1:6" x14ac:dyDescent="0.3">
      <c r="A50" s="7" t="s">
        <v>116</v>
      </c>
      <c r="B50" s="11" t="str">
        <f t="shared" si="0"/>
        <v>21008</v>
      </c>
      <c r="C50" s="1" t="str">
        <f t="shared" si="1"/>
        <v>Monday</v>
      </c>
      <c r="D50" s="11" t="str">
        <f t="shared" si="2"/>
        <v>0</v>
      </c>
      <c r="E50" s="1" t="str">
        <f t="shared" si="3"/>
        <v>Sunday</v>
      </c>
      <c r="F50" s="11" t="str">
        <f t="shared" si="4"/>
        <v>24</v>
      </c>
    </row>
    <row r="51" spans="1:6" x14ac:dyDescent="0.3">
      <c r="A51" s="7" t="s">
        <v>117</v>
      </c>
      <c r="B51" s="11" t="str">
        <f t="shared" si="0"/>
        <v>21010</v>
      </c>
      <c r="C51" s="1" t="str">
        <f t="shared" si="1"/>
        <v>Monday</v>
      </c>
      <c r="D51" s="11" t="str">
        <f t="shared" si="2"/>
        <v>0</v>
      </c>
      <c r="E51" s="1" t="str">
        <f t="shared" si="3"/>
        <v>Sunday</v>
      </c>
      <c r="F51" s="11" t="str">
        <f t="shared" si="4"/>
        <v>24</v>
      </c>
    </row>
    <row r="52" spans="1:6" x14ac:dyDescent="0.3">
      <c r="A52" s="7" t="s">
        <v>118</v>
      </c>
      <c r="B52" s="11" t="str">
        <f t="shared" si="0"/>
        <v>21012</v>
      </c>
      <c r="C52" s="1" t="str">
        <f t="shared" si="1"/>
        <v>Monday</v>
      </c>
      <c r="D52" s="11" t="str">
        <f t="shared" si="2"/>
        <v>0</v>
      </c>
      <c r="E52" s="1" t="str">
        <f t="shared" si="3"/>
        <v>Sunday</v>
      </c>
      <c r="F52" s="11" t="str">
        <f t="shared" si="4"/>
        <v>24</v>
      </c>
    </row>
    <row r="53" spans="1:6" x14ac:dyDescent="0.3">
      <c r="A53" s="7" t="s">
        <v>119</v>
      </c>
      <c r="B53" s="11" t="str">
        <f t="shared" si="0"/>
        <v>21014</v>
      </c>
      <c r="C53" s="1" t="str">
        <f t="shared" si="1"/>
        <v>Monday</v>
      </c>
      <c r="D53" s="11" t="str">
        <f t="shared" si="2"/>
        <v>0</v>
      </c>
      <c r="E53" s="1" t="str">
        <f t="shared" si="3"/>
        <v>Sunday</v>
      </c>
      <c r="F53" s="11" t="str">
        <f t="shared" si="4"/>
        <v>24</v>
      </c>
    </row>
    <row r="54" spans="1:6" x14ac:dyDescent="0.3">
      <c r="A54" s="9" t="s">
        <v>120</v>
      </c>
      <c r="B54" s="11" t="str">
        <f t="shared" si="0"/>
        <v>21016</v>
      </c>
      <c r="C54" s="1" t="str">
        <f t="shared" si="1"/>
        <v>Monday</v>
      </c>
      <c r="D54" s="11" t="str">
        <f t="shared" si="2"/>
        <v>0</v>
      </c>
      <c r="E54" s="1" t="str">
        <f t="shared" si="3"/>
        <v>Sunday</v>
      </c>
      <c r="F54" s="11" t="str">
        <f t="shared" si="4"/>
        <v>24</v>
      </c>
    </row>
  </sheetData>
  <mergeCells count="1">
    <mergeCell ref="B5:L6"/>
  </mergeCells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J22"/>
  <sheetViews>
    <sheetView zoomScaleNormal="100" workbookViewId="0">
      <selection activeCell="B6" sqref="B6:J8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10" ht="21" x14ac:dyDescent="0.4">
      <c r="A1" s="40" t="s">
        <v>85</v>
      </c>
      <c r="B1" s="39" t="s">
        <v>167</v>
      </c>
    </row>
    <row r="2" spans="1:10" ht="18" x14ac:dyDescent="0.35">
      <c r="B2" s="38" t="s">
        <v>166</v>
      </c>
    </row>
    <row r="5" spans="1:10" ht="14.4" x14ac:dyDescent="0.3">
      <c r="B5" s="1" t="s">
        <v>151</v>
      </c>
    </row>
    <row r="6" spans="1:10" ht="14.4" x14ac:dyDescent="0.3">
      <c r="A6" s="3" t="s">
        <v>53</v>
      </c>
      <c r="B6" s="47" t="s">
        <v>181</v>
      </c>
      <c r="C6" s="47"/>
      <c r="D6" s="47"/>
      <c r="E6" s="47"/>
      <c r="F6" s="47"/>
      <c r="G6" s="47"/>
      <c r="H6" s="47"/>
      <c r="I6" s="47"/>
      <c r="J6" s="47"/>
    </row>
    <row r="7" spans="1:10" ht="14.4" x14ac:dyDescent="0.3">
      <c r="A7" s="3" t="s">
        <v>153</v>
      </c>
      <c r="B7" s="47"/>
      <c r="C7" s="47"/>
      <c r="D7" s="47"/>
      <c r="E7" s="47"/>
      <c r="F7" s="47"/>
      <c r="G7" s="47"/>
      <c r="H7" s="47"/>
      <c r="I7" s="47"/>
      <c r="J7" s="47"/>
    </row>
    <row r="8" spans="1:10" x14ac:dyDescent="0.3">
      <c r="B8" s="47"/>
      <c r="C8" s="47"/>
      <c r="D8" s="47"/>
      <c r="E8" s="47"/>
      <c r="F8" s="47"/>
      <c r="G8" s="47"/>
      <c r="H8" s="47"/>
      <c r="I8" s="47"/>
      <c r="J8" s="47"/>
    </row>
    <row r="10" spans="1:10" ht="23.4" x14ac:dyDescent="0.45">
      <c r="A10" s="17" t="s">
        <v>162</v>
      </c>
    </row>
    <row r="11" spans="1:10" ht="14.4" x14ac:dyDescent="0.3">
      <c r="A11" s="30" t="s">
        <v>86</v>
      </c>
      <c r="B11" s="16" t="s">
        <v>87</v>
      </c>
      <c r="C11" s="16" t="s">
        <v>88</v>
      </c>
    </row>
    <row r="12" spans="1:10" ht="14.4" x14ac:dyDescent="0.3">
      <c r="A12" s="30">
        <v>44927</v>
      </c>
      <c r="B12" s="16" t="s">
        <v>59</v>
      </c>
      <c r="C12" s="16">
        <v>200</v>
      </c>
    </row>
    <row r="13" spans="1:10" ht="14.4" x14ac:dyDescent="0.3">
      <c r="A13" s="30">
        <v>44928</v>
      </c>
      <c r="B13" s="16" t="s">
        <v>60</v>
      </c>
      <c r="C13" s="16" t="e">
        <v>#N/A</v>
      </c>
    </row>
    <row r="14" spans="1:10" ht="14.4" x14ac:dyDescent="0.3">
      <c r="A14" s="30">
        <v>44929</v>
      </c>
      <c r="B14" s="16" t="s">
        <v>61</v>
      </c>
      <c r="C14" s="16">
        <v>50</v>
      </c>
    </row>
    <row r="15" spans="1:10" ht="14.4" x14ac:dyDescent="0.3">
      <c r="A15" s="30">
        <v>44930</v>
      </c>
      <c r="B15" s="16" t="s">
        <v>62</v>
      </c>
      <c r="C15" s="16" t="e">
        <v>#N/A</v>
      </c>
    </row>
    <row r="16" spans="1:10" ht="14.4" x14ac:dyDescent="0.3">
      <c r="A16" s="30">
        <v>44931</v>
      </c>
      <c r="B16" s="16" t="s">
        <v>63</v>
      </c>
      <c r="C16" s="16">
        <v>10</v>
      </c>
    </row>
    <row r="17" spans="1:3" ht="14.4" x14ac:dyDescent="0.3">
      <c r="A17" s="30">
        <v>44932</v>
      </c>
      <c r="B17" s="16" t="s">
        <v>154</v>
      </c>
      <c r="C17" s="16">
        <v>150</v>
      </c>
    </row>
    <row r="18" spans="1:3" ht="14.4" x14ac:dyDescent="0.3">
      <c r="A18" s="30">
        <v>44933</v>
      </c>
      <c r="B18" s="16" t="s">
        <v>155</v>
      </c>
      <c r="C18" s="16">
        <v>80</v>
      </c>
    </row>
    <row r="19" spans="1:3" ht="14.4" x14ac:dyDescent="0.3">
      <c r="A19" s="30">
        <v>44934</v>
      </c>
      <c r="B19" s="16" t="s">
        <v>156</v>
      </c>
      <c r="C19" s="16" t="e">
        <v>#N/A</v>
      </c>
    </row>
    <row r="20" spans="1:3" ht="14.4" x14ac:dyDescent="0.3">
      <c r="A20" s="30">
        <v>44935</v>
      </c>
      <c r="B20" s="16" t="s">
        <v>157</v>
      </c>
      <c r="C20" s="16">
        <v>30</v>
      </c>
    </row>
    <row r="21" spans="1:3" ht="14.4" x14ac:dyDescent="0.3">
      <c r="A21" s="30">
        <v>44936</v>
      </c>
      <c r="B21" s="16" t="s">
        <v>158</v>
      </c>
      <c r="C21" s="16" t="e">
        <v>#N/A</v>
      </c>
    </row>
    <row r="22" spans="1:3" ht="14.4" x14ac:dyDescent="0.3">
      <c r="B22" s="16" t="s">
        <v>159</v>
      </c>
      <c r="C22" s="24">
        <f t="array" ref="C22">SUM(IFERROR(C12:C21, 20))</f>
        <v>600</v>
      </c>
    </row>
  </sheetData>
  <mergeCells count="1">
    <mergeCell ref="B6:J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N21" sqref="N21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0" t="s">
        <v>98</v>
      </c>
      <c r="B1" s="39" t="s">
        <v>175</v>
      </c>
    </row>
    <row r="3" spans="1:14" ht="14.4" x14ac:dyDescent="0.3">
      <c r="B3" s="1" t="s">
        <v>151</v>
      </c>
    </row>
    <row r="4" spans="1:14" ht="18" x14ac:dyDescent="0.35">
      <c r="A4" s="41" t="s">
        <v>53</v>
      </c>
      <c r="B4" s="47" t="s">
        <v>182</v>
      </c>
      <c r="C4" s="47"/>
      <c r="D4" s="47"/>
      <c r="E4" s="47"/>
      <c r="F4" s="47"/>
      <c r="G4" s="47"/>
      <c r="H4" s="47"/>
      <c r="I4" s="47"/>
      <c r="J4" s="47"/>
      <c r="K4" s="47"/>
      <c r="L4" s="47"/>
    </row>
    <row r="5" spans="1:14" ht="18" x14ac:dyDescent="0.35">
      <c r="A5" s="41" t="s">
        <v>153</v>
      </c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</row>
    <row r="6" spans="1:14" ht="14.4" x14ac:dyDescent="0.3">
      <c r="A6" s="3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</row>
    <row r="7" spans="1:14" x14ac:dyDescent="0.3"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</row>
    <row r="8" spans="1:14" ht="23.4" x14ac:dyDescent="0.45">
      <c r="A8" s="17" t="s">
        <v>162</v>
      </c>
      <c r="M8" s="17" t="s">
        <v>163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168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4.4" x14ac:dyDescent="0.3">
      <c r="A23" s="7">
        <v>10100</v>
      </c>
      <c r="B23" s="11">
        <v>10102</v>
      </c>
      <c r="C23" s="42">
        <f>INDEX($B$10:$J$18, MATCH(VLOOKUP(A23, $M$9:$N$18, 2, FALSE), $B$9:$J$9, 0), MATCH(VLOOKUP(B23, $M$9:$N$18, 2, FALSE), $B$9:$J$9, 0))</f>
        <v>95</v>
      </c>
    </row>
    <row r="24" spans="1:14" ht="14.4" x14ac:dyDescent="0.3">
      <c r="A24" s="7">
        <v>10100</v>
      </c>
      <c r="B24" s="11">
        <v>10104</v>
      </c>
      <c r="C24" s="42">
        <f t="shared" ref="C24:C35" si="0">INDEX($B$10:$J$18, MATCH(VLOOKUP(A24, $M$9:$N$18, 2, FALSE), $B$9:$J$9, 0), MATCH(VLOOKUP(B24, $M$9:$N$18, 2, FALSE), $B$9:$J$9, 0))</f>
        <v>-1</v>
      </c>
    </row>
    <row r="25" spans="1:14" ht="14.4" x14ac:dyDescent="0.3">
      <c r="A25" s="7">
        <v>10108</v>
      </c>
      <c r="B25" s="11">
        <v>10102</v>
      </c>
      <c r="C25" s="42">
        <f t="shared" si="0"/>
        <v>160</v>
      </c>
    </row>
    <row r="26" spans="1:14" ht="14.4" x14ac:dyDescent="0.3">
      <c r="A26" s="7">
        <v>10100</v>
      </c>
      <c r="B26" s="11">
        <v>10106</v>
      </c>
      <c r="C26" s="42">
        <f t="shared" si="0"/>
        <v>185</v>
      </c>
    </row>
    <row r="27" spans="1:14" ht="14.4" x14ac:dyDescent="0.3">
      <c r="A27" s="7">
        <v>10108</v>
      </c>
      <c r="B27" s="11">
        <v>10110</v>
      </c>
      <c r="C27" s="42">
        <f t="shared" si="0"/>
        <v>50</v>
      </c>
    </row>
    <row r="28" spans="1:14" ht="14.4" x14ac:dyDescent="0.3">
      <c r="A28" s="7">
        <v>10102</v>
      </c>
      <c r="B28" s="11">
        <v>10104</v>
      </c>
      <c r="C28" s="42">
        <f t="shared" si="0"/>
        <v>-1</v>
      </c>
    </row>
    <row r="29" spans="1:14" ht="14.4" x14ac:dyDescent="0.3">
      <c r="A29" s="7">
        <v>10106</v>
      </c>
      <c r="B29" s="11">
        <v>10108</v>
      </c>
      <c r="C29" s="42">
        <f t="shared" si="0"/>
        <v>70</v>
      </c>
    </row>
    <row r="30" spans="1:14" ht="14.4" x14ac:dyDescent="0.3">
      <c r="A30" s="7">
        <v>10102</v>
      </c>
      <c r="B30" s="11">
        <v>10106</v>
      </c>
      <c r="C30" s="42">
        <f t="shared" si="0"/>
        <v>90</v>
      </c>
    </row>
    <row r="31" spans="1:14" ht="14.4" x14ac:dyDescent="0.3">
      <c r="A31" s="7">
        <v>10110</v>
      </c>
      <c r="B31" s="11">
        <v>10114</v>
      </c>
      <c r="C31" s="42">
        <f t="shared" si="0"/>
        <v>180</v>
      </c>
    </row>
    <row r="32" spans="1:14" ht="14.4" x14ac:dyDescent="0.3">
      <c r="A32" s="7">
        <v>10104</v>
      </c>
      <c r="B32" s="11">
        <v>10106</v>
      </c>
      <c r="C32" s="42">
        <f t="shared" si="0"/>
        <v>60</v>
      </c>
    </row>
    <row r="33" spans="1:3" ht="14.4" x14ac:dyDescent="0.3">
      <c r="A33" s="7">
        <v>10110</v>
      </c>
      <c r="B33" s="11">
        <v>10112</v>
      </c>
      <c r="C33" s="42">
        <f t="shared" si="0"/>
        <v>115</v>
      </c>
    </row>
    <row r="34" spans="1:3" ht="14.4" x14ac:dyDescent="0.3">
      <c r="A34" s="7">
        <v>10100</v>
      </c>
      <c r="B34" s="11">
        <v>10114</v>
      </c>
      <c r="C34" s="42">
        <f>INDEX($B$10:$J$18, MATCH(VLOOKUP(A34, $M$9:$N$18, 2, FALSE), $B$9:$J$9, 0), MATCH(VLOOKUP(B34, $M$9:$N$18, 2, FALSE), $B$9:$J$9, 0))</f>
        <v>480</v>
      </c>
    </row>
    <row r="35" spans="1:3" ht="14.4" x14ac:dyDescent="0.3">
      <c r="A35" s="9">
        <v>10112</v>
      </c>
      <c r="B35" s="12">
        <v>10116</v>
      </c>
      <c r="C35" s="42">
        <f t="shared" si="0"/>
        <v>105</v>
      </c>
    </row>
  </sheetData>
  <mergeCells count="1">
    <mergeCell ref="B4:L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Amlan Mohanty</cp:lastModifiedBy>
  <dcterms:created xsi:type="dcterms:W3CDTF">2015-02-10T17:33:11Z</dcterms:created>
  <dcterms:modified xsi:type="dcterms:W3CDTF">2023-12-10T10:31:42Z</dcterms:modified>
</cp:coreProperties>
</file>